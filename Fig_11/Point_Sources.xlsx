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8_PhD\04_CASE_STUDIES\Piave\DATA\SURVEYS\DATA_ANALYSIS\RESULTS\ARENITES_VALIDATION\"/>
    </mc:Choice>
  </mc:AlternateContent>
  <xr:revisionPtr revIDLastSave="0" documentId="13_ncr:1_{FB22FF54-1567-406E-BE42-DB5D93C49139}" xr6:coauthVersionLast="36" xr6:coauthVersionMax="36" xr10:uidLastSave="{00000000-0000-0000-0000-000000000000}"/>
  <bookViews>
    <workbookView xWindow="0" yWindow="0" windowWidth="23040" windowHeight="8076" activeTab="1" xr2:uid="{DA0293D8-F6BE-4A6E-90B4-F9AA5C941878}"/>
  </bookViews>
  <sheets>
    <sheet name="Sources_Topology" sheetId="1" r:id="rId1"/>
    <sheet name="Sheet2" sheetId="2" r:id="rId2"/>
    <sheet name="Shape_File_Sources" sheetId="3" r:id="rId3"/>
    <sheet name="Shape_File_Confluenc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2" l="1"/>
  <c r="I7" i="2" l="1"/>
</calcChain>
</file>

<file path=xl/sharedStrings.xml><?xml version="1.0" encoding="utf-8"?>
<sst xmlns="http://schemas.openxmlformats.org/spreadsheetml/2006/main" count="62" uniqueCount="25">
  <si>
    <t>Point_Source_Distance</t>
  </si>
  <si>
    <t>Location</t>
  </si>
  <si>
    <t>Point ZM</t>
  </si>
  <si>
    <t>AreaCatch</t>
  </si>
  <si>
    <t>AreaCount</t>
  </si>
  <si>
    <t>FlowLength</t>
  </si>
  <si>
    <t>Lidar_2025</t>
  </si>
  <si>
    <t>Shape</t>
  </si>
  <si>
    <t>FID</t>
  </si>
  <si>
    <t>Confluence</t>
  </si>
  <si>
    <t>Lidar_2024</t>
  </si>
  <si>
    <t>Source</t>
  </si>
  <si>
    <t>Counfluence_x</t>
  </si>
  <si>
    <t>Source_x</t>
  </si>
  <si>
    <t>lambda</t>
  </si>
  <si>
    <t>[m]</t>
  </si>
  <si>
    <t>CumP</t>
  </si>
  <si>
    <t>[-]</t>
  </si>
  <si>
    <t>L</t>
  </si>
  <si>
    <t>Weighing function effect</t>
  </si>
  <si>
    <t>Ghost Arenites source</t>
  </si>
  <si>
    <t>x</t>
  </si>
  <si>
    <t>C</t>
  </si>
  <si>
    <t>a</t>
  </si>
  <si>
    <t>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</si>
</sst>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9" fontId="0" fillId="0" borderId="0" xfId="1" applyFont="1"/>
    <xf numFmtId="0" fontId="0" fillId="0" borderId="0" xfId="0" applyAlignment="1">
      <alignment horizontal="center"/>
    </xf>
    <xf numFmtId="16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E821-374A-4E5B-850D-AFA02409B39D}">
  <dimension ref="A1:D17"/>
  <sheetViews>
    <sheetView workbookViewId="0">
      <selection activeCell="F5" sqref="F5"/>
    </sheetView>
  </sheetViews>
  <sheetFormatPr defaultRowHeight="14.4" x14ac:dyDescent="0.3"/>
  <cols>
    <col min="1" max="1" width="6.5546875" bestFit="1" customWidth="1"/>
    <col min="2" max="2" width="8.44140625" bestFit="1" customWidth="1"/>
    <col min="3" max="3" width="10.21875" bestFit="1" customWidth="1"/>
    <col min="4" max="4" width="13.21875" bestFit="1" customWidth="1"/>
    <col min="6" max="6" width="10.21875" bestFit="1" customWidth="1"/>
    <col min="7" max="7" width="10.33203125" bestFit="1" customWidth="1"/>
  </cols>
  <sheetData>
    <row r="1" spans="1:4" x14ac:dyDescent="0.3">
      <c r="A1" t="s">
        <v>11</v>
      </c>
      <c r="B1" t="s">
        <v>13</v>
      </c>
      <c r="C1" t="s">
        <v>9</v>
      </c>
      <c r="D1" t="s">
        <v>12</v>
      </c>
    </row>
    <row r="2" spans="1:4" x14ac:dyDescent="0.3">
      <c r="A2">
        <v>1</v>
      </c>
      <c r="B2" s="1">
        <v>7630.7641599999997</v>
      </c>
      <c r="C2">
        <v>1</v>
      </c>
      <c r="D2">
        <v>7036.7</v>
      </c>
    </row>
    <row r="3" spans="1:4" x14ac:dyDescent="0.3">
      <c r="A3">
        <v>2</v>
      </c>
      <c r="B3" s="1">
        <v>7363.9819340000004</v>
      </c>
      <c r="C3">
        <v>1</v>
      </c>
      <c r="D3">
        <v>7036.7</v>
      </c>
    </row>
    <row r="4" spans="1:4" x14ac:dyDescent="0.3">
      <c r="A4">
        <v>3</v>
      </c>
      <c r="B4" s="1">
        <v>7125.8413090000004</v>
      </c>
      <c r="C4">
        <v>2</v>
      </c>
      <c r="D4">
        <v>6662.85</v>
      </c>
    </row>
    <row r="5" spans="1:4" x14ac:dyDescent="0.3">
      <c r="A5">
        <v>4</v>
      </c>
      <c r="B5" s="1">
        <v>7044.2709960000002</v>
      </c>
      <c r="C5">
        <v>2</v>
      </c>
      <c r="D5">
        <v>6662.85</v>
      </c>
    </row>
    <row r="6" spans="1:4" x14ac:dyDescent="0.3">
      <c r="A6">
        <v>5</v>
      </c>
      <c r="B6" s="1">
        <v>6860.6293949999999</v>
      </c>
      <c r="C6">
        <v>3</v>
      </c>
      <c r="D6">
        <v>6336.06</v>
      </c>
    </row>
    <row r="7" spans="1:4" x14ac:dyDescent="0.3">
      <c r="A7">
        <v>6</v>
      </c>
      <c r="B7" s="1">
        <v>6730.7739259999998</v>
      </c>
      <c r="C7">
        <v>3</v>
      </c>
      <c r="D7">
        <v>6336.06</v>
      </c>
    </row>
    <row r="8" spans="1:4" x14ac:dyDescent="0.3">
      <c r="A8">
        <v>7</v>
      </c>
      <c r="B8" s="1">
        <v>6630.9184569999998</v>
      </c>
      <c r="C8">
        <v>4</v>
      </c>
      <c r="D8">
        <v>6256.56</v>
      </c>
    </row>
    <row r="9" spans="1:4" x14ac:dyDescent="0.3">
      <c r="A9">
        <v>8</v>
      </c>
      <c r="B9" s="1">
        <v>5187.2192379999997</v>
      </c>
      <c r="C9">
        <v>5</v>
      </c>
      <c r="D9">
        <v>4939.9399999999996</v>
      </c>
    </row>
    <row r="10" spans="1:4" x14ac:dyDescent="0.3">
      <c r="A10">
        <v>9</v>
      </c>
      <c r="B10" s="1">
        <v>4627.6533200000003</v>
      </c>
      <c r="C10">
        <v>6</v>
      </c>
      <c r="D10">
        <v>4387.4399999999996</v>
      </c>
    </row>
    <row r="11" spans="1:4" x14ac:dyDescent="0.3">
      <c r="A11">
        <v>10</v>
      </c>
      <c r="B11" s="1">
        <v>4010.6591800000001</v>
      </c>
      <c r="C11">
        <v>7</v>
      </c>
      <c r="D11">
        <v>4010.66</v>
      </c>
    </row>
    <row r="12" spans="1:4" x14ac:dyDescent="0.3">
      <c r="A12">
        <v>11</v>
      </c>
      <c r="B12" s="1">
        <v>3613.876953</v>
      </c>
      <c r="C12">
        <v>8</v>
      </c>
      <c r="D12">
        <v>3613.88</v>
      </c>
    </row>
    <row r="13" spans="1:4" x14ac:dyDescent="0.3">
      <c r="A13">
        <v>12</v>
      </c>
      <c r="B13" s="1">
        <v>3079.46</v>
      </c>
      <c r="C13">
        <v>10</v>
      </c>
      <c r="D13">
        <v>1969.46</v>
      </c>
    </row>
    <row r="14" spans="1:4" x14ac:dyDescent="0.3">
      <c r="A14">
        <v>13</v>
      </c>
      <c r="B14" s="1">
        <v>2094.3203119999998</v>
      </c>
      <c r="C14">
        <v>9</v>
      </c>
      <c r="D14">
        <v>2094.3200000000002</v>
      </c>
    </row>
    <row r="15" spans="1:4" x14ac:dyDescent="0.3">
      <c r="A15">
        <v>14</v>
      </c>
      <c r="B15" s="1">
        <v>1892.8945309999999</v>
      </c>
      <c r="C15">
        <v>11</v>
      </c>
      <c r="D15">
        <v>1680.97</v>
      </c>
    </row>
    <row r="16" spans="1:4" x14ac:dyDescent="0.3">
      <c r="A16">
        <v>15</v>
      </c>
      <c r="B16" s="1">
        <v>1569.397461</v>
      </c>
      <c r="C16">
        <v>12</v>
      </c>
      <c r="D16">
        <v>1569.4</v>
      </c>
    </row>
    <row r="17" spans="1:4" x14ac:dyDescent="0.3">
      <c r="A17">
        <v>16</v>
      </c>
      <c r="B17" s="1">
        <v>1129.330078</v>
      </c>
      <c r="C17">
        <v>13</v>
      </c>
      <c r="D17">
        <v>1129.33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1394-7876-421D-A230-CC3BF30C38EF}">
  <dimension ref="A1:I18"/>
  <sheetViews>
    <sheetView tabSelected="1" workbookViewId="0">
      <selection activeCell="G20" sqref="G20"/>
    </sheetView>
  </sheetViews>
  <sheetFormatPr defaultRowHeight="14.4" x14ac:dyDescent="0.3"/>
  <cols>
    <col min="1" max="1" width="21.109375" bestFit="1" customWidth="1"/>
  </cols>
  <sheetData>
    <row r="1" spans="1:9" x14ac:dyDescent="0.3">
      <c r="A1" t="s">
        <v>0</v>
      </c>
      <c r="B1" t="s">
        <v>1</v>
      </c>
    </row>
    <row r="2" spans="1:9" x14ac:dyDescent="0.3">
      <c r="A2">
        <v>7630.7641599999997</v>
      </c>
    </row>
    <row r="3" spans="1:9" x14ac:dyDescent="0.3">
      <c r="A3">
        <v>7363.9819340000004</v>
      </c>
    </row>
    <row r="4" spans="1:9" x14ac:dyDescent="0.3">
      <c r="A4">
        <v>7125.8413090000004</v>
      </c>
      <c r="G4" s="4" t="s">
        <v>19</v>
      </c>
      <c r="H4" s="4"/>
      <c r="I4" s="4"/>
    </row>
    <row r="5" spans="1:9" x14ac:dyDescent="0.3">
      <c r="A5">
        <v>7044.2709960000002</v>
      </c>
      <c r="E5" s="1">
        <v>7363.9819340000004</v>
      </c>
      <c r="G5" t="s">
        <v>14</v>
      </c>
      <c r="H5" t="s">
        <v>15</v>
      </c>
      <c r="I5">
        <v>709</v>
      </c>
    </row>
    <row r="6" spans="1:9" x14ac:dyDescent="0.3">
      <c r="A6">
        <v>6860.6293949999999</v>
      </c>
      <c r="E6" s="1">
        <v>7125.8413090000004</v>
      </c>
      <c r="G6" t="s">
        <v>16</v>
      </c>
      <c r="H6" t="s">
        <v>17</v>
      </c>
      <c r="I6" s="3">
        <v>0.95</v>
      </c>
    </row>
    <row r="7" spans="1:9" x14ac:dyDescent="0.3">
      <c r="A7">
        <v>6730.7739259999998</v>
      </c>
      <c r="B7">
        <v>3</v>
      </c>
      <c r="E7" s="1">
        <v>6860.6293949999999</v>
      </c>
      <c r="G7" t="s">
        <v>18</v>
      </c>
      <c r="H7" t="s">
        <v>15</v>
      </c>
      <c r="I7" s="1">
        <f>I5*LN(1/(1-I6))</f>
        <v>2123.974181949779</v>
      </c>
    </row>
    <row r="8" spans="1:9" x14ac:dyDescent="0.3">
      <c r="A8">
        <v>6630.9184569999998</v>
      </c>
      <c r="E8" s="1">
        <v>6730.7739259999998</v>
      </c>
    </row>
    <row r="9" spans="1:9" x14ac:dyDescent="0.3">
      <c r="A9">
        <v>5187.2192379999997</v>
      </c>
      <c r="B9">
        <v>12</v>
      </c>
      <c r="E9" s="1">
        <v>5187.2192379999997</v>
      </c>
      <c r="G9" s="4" t="s">
        <v>20</v>
      </c>
      <c r="H9" s="4"/>
      <c r="I9" s="4"/>
    </row>
    <row r="10" spans="1:9" x14ac:dyDescent="0.3">
      <c r="A10">
        <v>4627.6533200000003</v>
      </c>
      <c r="E10" s="1">
        <v>4627.6533200000003</v>
      </c>
      <c r="G10" t="s">
        <v>21</v>
      </c>
      <c r="H10" t="s">
        <v>22</v>
      </c>
    </row>
    <row r="11" spans="1:9" x14ac:dyDescent="0.3">
      <c r="A11">
        <v>4010.6591800000001</v>
      </c>
      <c r="B11">
        <v>18</v>
      </c>
      <c r="E11" s="1">
        <v>4010.6591800000001</v>
      </c>
      <c r="G11">
        <v>2568.0300000000002</v>
      </c>
      <c r="H11">
        <v>0.93348500000000001</v>
      </c>
    </row>
    <row r="12" spans="1:9" x14ac:dyDescent="0.3">
      <c r="A12">
        <v>3613.876953</v>
      </c>
      <c r="E12" s="1">
        <v>3613.876953</v>
      </c>
      <c r="G12">
        <v>3005.03</v>
      </c>
      <c r="H12">
        <v>0.922844</v>
      </c>
    </row>
    <row r="13" spans="1:9" x14ac:dyDescent="0.3">
      <c r="A13">
        <v>3051.5263669999999</v>
      </c>
      <c r="B13">
        <v>19</v>
      </c>
      <c r="E13" s="1">
        <v>3079.46</v>
      </c>
      <c r="G13">
        <v>3079.46</v>
      </c>
      <c r="H13">
        <v>0.86109999999999998</v>
      </c>
    </row>
    <row r="14" spans="1:9" x14ac:dyDescent="0.3">
      <c r="A14">
        <v>2094.3203119999998</v>
      </c>
      <c r="E14" s="1">
        <v>2094.3203119999998</v>
      </c>
    </row>
    <row r="15" spans="1:9" x14ac:dyDescent="0.3">
      <c r="A15">
        <v>1892.8945309999999</v>
      </c>
      <c r="E15" s="1">
        <v>1892.8945309999999</v>
      </c>
      <c r="G15" t="s">
        <v>23</v>
      </c>
      <c r="H15">
        <v>5.71</v>
      </c>
    </row>
    <row r="16" spans="1:9" x14ac:dyDescent="0.3">
      <c r="A16">
        <v>1569.397461</v>
      </c>
      <c r="B16">
        <v>22</v>
      </c>
      <c r="E16" s="1">
        <v>1569.397461</v>
      </c>
      <c r="G16" t="s">
        <v>24</v>
      </c>
      <c r="H16">
        <v>1.6982436524616999E-2</v>
      </c>
    </row>
    <row r="17" spans="1:8" x14ac:dyDescent="0.3">
      <c r="A17">
        <v>1129.330078</v>
      </c>
      <c r="E17" s="1">
        <v>1129.330078</v>
      </c>
    </row>
    <row r="18" spans="1:8" x14ac:dyDescent="0.3">
      <c r="G18" t="s">
        <v>18</v>
      </c>
      <c r="H18" s="5">
        <f>1/$H$16*LN(1/(1-1*(1-(1-((H11-H13)/(1-H13))^$H$15)^(1/H15))))</f>
        <v>0.2526012799558921</v>
      </c>
    </row>
  </sheetData>
  <mergeCells count="2">
    <mergeCell ref="G4:I4"/>
    <mergeCell ref="G9:I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99A8-80CE-42A5-B296-857C8D8F8844}">
  <dimension ref="A1:G17"/>
  <sheetViews>
    <sheetView workbookViewId="0">
      <selection activeCell="T12" sqref="T12"/>
    </sheetView>
  </sheetViews>
  <sheetFormatPr defaultRowHeight="14.4" x14ac:dyDescent="0.3"/>
  <cols>
    <col min="1" max="1" width="3.6640625" bestFit="1" customWidth="1"/>
    <col min="2" max="2" width="8.21875" bestFit="1" customWidth="1"/>
    <col min="3" max="3" width="8.109375" bestFit="1" customWidth="1"/>
    <col min="4" max="4" width="10" bestFit="1" customWidth="1"/>
    <col min="5" max="5" width="10.33203125" bestFit="1" customWidth="1"/>
    <col min="6" max="6" width="9.6640625" bestFit="1" customWidth="1"/>
    <col min="7" max="7" width="12" bestFit="1" customWidth="1"/>
  </cols>
  <sheetData>
    <row r="1" spans="1:7" x14ac:dyDescent="0.3">
      <c r="A1" t="s">
        <v>8</v>
      </c>
      <c r="B1" t="s">
        <v>7</v>
      </c>
      <c r="C1" t="s">
        <v>1</v>
      </c>
      <c r="D1" t="s">
        <v>6</v>
      </c>
      <c r="E1" t="s">
        <v>5</v>
      </c>
      <c r="F1" t="s">
        <v>4</v>
      </c>
      <c r="G1" t="s">
        <v>3</v>
      </c>
    </row>
    <row r="2" spans="1:7" x14ac:dyDescent="0.3">
      <c r="A2">
        <v>6</v>
      </c>
      <c r="B2" t="s">
        <v>2</v>
      </c>
      <c r="C2">
        <v>1</v>
      </c>
      <c r="D2">
        <v>1279.3</v>
      </c>
      <c r="E2" s="2">
        <v>7630.76</v>
      </c>
      <c r="F2">
        <v>3173.68</v>
      </c>
      <c r="G2">
        <v>79341.998290999996</v>
      </c>
    </row>
    <row r="3" spans="1:7" x14ac:dyDescent="0.3">
      <c r="A3">
        <v>7</v>
      </c>
      <c r="B3" t="s">
        <v>2</v>
      </c>
      <c r="C3">
        <v>2</v>
      </c>
      <c r="D3">
        <v>1194.8</v>
      </c>
      <c r="E3" s="2">
        <v>7363.98</v>
      </c>
      <c r="F3">
        <v>6675.22</v>
      </c>
      <c r="G3">
        <v>166880.50537100001</v>
      </c>
    </row>
    <row r="4" spans="1:7" x14ac:dyDescent="0.3">
      <c r="A4">
        <v>8</v>
      </c>
      <c r="B4" t="s">
        <v>2</v>
      </c>
      <c r="C4">
        <v>3</v>
      </c>
      <c r="D4">
        <v>1202.8</v>
      </c>
      <c r="E4" s="2">
        <v>7125.84</v>
      </c>
      <c r="F4">
        <v>795.29399999999998</v>
      </c>
      <c r="G4">
        <v>19882.350159000001</v>
      </c>
    </row>
    <row r="5" spans="1:7" x14ac:dyDescent="0.3">
      <c r="A5">
        <v>9</v>
      </c>
      <c r="B5" t="s">
        <v>2</v>
      </c>
      <c r="C5">
        <v>4</v>
      </c>
      <c r="D5">
        <v>1196.7</v>
      </c>
      <c r="E5" s="2">
        <v>7044.27</v>
      </c>
      <c r="F5">
        <v>292.02300000000002</v>
      </c>
      <c r="G5">
        <v>7300.5752560000001</v>
      </c>
    </row>
    <row r="6" spans="1:7" x14ac:dyDescent="0.3">
      <c r="A6">
        <v>10</v>
      </c>
      <c r="B6" t="s">
        <v>2</v>
      </c>
      <c r="C6">
        <v>5</v>
      </c>
      <c r="D6">
        <v>1153.3</v>
      </c>
      <c r="E6" s="2">
        <v>6860.63</v>
      </c>
      <c r="F6">
        <v>2699.06</v>
      </c>
      <c r="G6">
        <v>67476.501464999994</v>
      </c>
    </row>
    <row r="7" spans="1:7" x14ac:dyDescent="0.3">
      <c r="A7">
        <v>1</v>
      </c>
      <c r="B7" t="s">
        <v>2</v>
      </c>
      <c r="C7">
        <v>6</v>
      </c>
      <c r="D7">
        <v>1126.4000000000001</v>
      </c>
      <c r="E7" s="2">
        <v>6730.77</v>
      </c>
      <c r="F7">
        <v>1092.01</v>
      </c>
      <c r="G7">
        <v>27300.250243999999</v>
      </c>
    </row>
    <row r="8" spans="1:7" x14ac:dyDescent="0.3">
      <c r="A8">
        <v>11</v>
      </c>
      <c r="B8" t="s">
        <v>2</v>
      </c>
      <c r="C8">
        <v>7</v>
      </c>
      <c r="D8">
        <v>1121.7</v>
      </c>
      <c r="E8" s="2">
        <v>6630.92</v>
      </c>
      <c r="F8">
        <v>2398.4699999999998</v>
      </c>
      <c r="G8">
        <v>59961.749268</v>
      </c>
    </row>
    <row r="9" spans="1:7" x14ac:dyDescent="0.3">
      <c r="A9">
        <v>2</v>
      </c>
      <c r="B9" t="s">
        <v>2</v>
      </c>
      <c r="C9">
        <v>8</v>
      </c>
      <c r="D9">
        <v>993.7</v>
      </c>
      <c r="E9" s="2">
        <v>5187.22</v>
      </c>
      <c r="F9">
        <v>119932</v>
      </c>
      <c r="G9">
        <v>2998300</v>
      </c>
    </row>
    <row r="10" spans="1:7" x14ac:dyDescent="0.3">
      <c r="A10">
        <v>12</v>
      </c>
      <c r="B10" t="s">
        <v>2</v>
      </c>
      <c r="C10">
        <v>9</v>
      </c>
      <c r="D10">
        <v>974.1</v>
      </c>
      <c r="E10" s="2">
        <v>4627.6499999999996</v>
      </c>
      <c r="F10">
        <v>2157.9899999999998</v>
      </c>
      <c r="G10">
        <v>53949.749755999997</v>
      </c>
    </row>
    <row r="11" spans="1:7" x14ac:dyDescent="0.3">
      <c r="A11">
        <v>5</v>
      </c>
      <c r="B11" t="s">
        <v>2</v>
      </c>
      <c r="C11">
        <v>10</v>
      </c>
      <c r="D11">
        <v>897.5</v>
      </c>
      <c r="E11" s="2">
        <v>4010.66</v>
      </c>
      <c r="F11">
        <v>584824</v>
      </c>
      <c r="G11">
        <v>14620600</v>
      </c>
    </row>
    <row r="12" spans="1:7" x14ac:dyDescent="0.3">
      <c r="A12">
        <v>13</v>
      </c>
      <c r="B12" t="s">
        <v>2</v>
      </c>
      <c r="C12">
        <v>11</v>
      </c>
      <c r="D12">
        <v>874</v>
      </c>
      <c r="E12" s="2">
        <v>3613.88</v>
      </c>
      <c r="F12">
        <v>692261</v>
      </c>
      <c r="G12">
        <v>17306525</v>
      </c>
    </row>
    <row r="13" spans="1:7" x14ac:dyDescent="0.3">
      <c r="A13">
        <v>3</v>
      </c>
      <c r="B13" t="s">
        <v>2</v>
      </c>
      <c r="C13">
        <v>12</v>
      </c>
      <c r="D13">
        <v>970.7</v>
      </c>
      <c r="E13" s="2">
        <v>3051.53</v>
      </c>
      <c r="F13">
        <v>13.581300000000001</v>
      </c>
      <c r="G13">
        <v>339.53249499999998</v>
      </c>
    </row>
    <row r="14" spans="1:7" x14ac:dyDescent="0.3">
      <c r="A14">
        <v>14</v>
      </c>
      <c r="B14" t="s">
        <v>2</v>
      </c>
      <c r="C14">
        <v>13</v>
      </c>
      <c r="D14">
        <v>780.7</v>
      </c>
      <c r="E14" s="2">
        <v>2094.3200000000002</v>
      </c>
      <c r="F14">
        <v>783191</v>
      </c>
      <c r="G14">
        <v>19579775</v>
      </c>
    </row>
    <row r="15" spans="1:7" x14ac:dyDescent="0.3">
      <c r="A15">
        <v>15</v>
      </c>
      <c r="B15" t="s">
        <v>2</v>
      </c>
      <c r="C15">
        <v>14</v>
      </c>
      <c r="D15">
        <v>738.9</v>
      </c>
      <c r="E15" s="2">
        <v>1892.89</v>
      </c>
      <c r="F15">
        <v>19999.8</v>
      </c>
      <c r="G15">
        <v>499995.019531</v>
      </c>
    </row>
    <row r="16" spans="1:7" x14ac:dyDescent="0.3">
      <c r="A16">
        <v>4</v>
      </c>
      <c r="B16" t="s">
        <v>2</v>
      </c>
      <c r="C16">
        <v>15</v>
      </c>
      <c r="D16">
        <v>692.5</v>
      </c>
      <c r="E16" s="2">
        <v>1569.4</v>
      </c>
      <c r="F16">
        <v>934742</v>
      </c>
      <c r="G16">
        <v>23368550</v>
      </c>
    </row>
    <row r="17" spans="1:7" x14ac:dyDescent="0.3">
      <c r="A17">
        <v>0</v>
      </c>
      <c r="B17" t="s">
        <v>2</v>
      </c>
      <c r="C17">
        <v>16</v>
      </c>
      <c r="D17">
        <v>665</v>
      </c>
      <c r="E17" s="2">
        <v>1129.33</v>
      </c>
      <c r="F17">
        <v>421515</v>
      </c>
      <c r="G17">
        <v>10537875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51EB-0356-4F9E-8366-70B1118DEF75}">
  <dimension ref="A1:G14"/>
  <sheetViews>
    <sheetView workbookViewId="0">
      <selection activeCell="J11" sqref="J11"/>
    </sheetView>
  </sheetViews>
  <sheetFormatPr defaultRowHeight="14.4" x14ac:dyDescent="0.3"/>
  <cols>
    <col min="1" max="1" width="3.6640625" bestFit="1" customWidth="1"/>
    <col min="2" max="2" width="8.21875" bestFit="1" customWidth="1"/>
    <col min="3" max="3" width="8.109375" bestFit="1" customWidth="1"/>
    <col min="4" max="4" width="10" bestFit="1" customWidth="1"/>
    <col min="5" max="5" width="10.33203125" bestFit="1" customWidth="1"/>
    <col min="6" max="6" width="9.6640625" bestFit="1" customWidth="1"/>
    <col min="7" max="7" width="12" bestFit="1" customWidth="1"/>
  </cols>
  <sheetData>
    <row r="1" spans="1:7" x14ac:dyDescent="0.3">
      <c r="A1" t="s">
        <v>8</v>
      </c>
      <c r="B1" t="s">
        <v>7</v>
      </c>
      <c r="C1" t="s">
        <v>1</v>
      </c>
      <c r="D1" t="s">
        <v>10</v>
      </c>
      <c r="E1" t="s">
        <v>5</v>
      </c>
      <c r="F1" t="s">
        <v>4</v>
      </c>
      <c r="G1" t="s">
        <v>3</v>
      </c>
    </row>
    <row r="2" spans="1:7" x14ac:dyDescent="0.3">
      <c r="A2">
        <v>5</v>
      </c>
      <c r="B2" t="s">
        <v>2</v>
      </c>
      <c r="C2">
        <v>1</v>
      </c>
      <c r="D2">
        <v>1121.9000000000001</v>
      </c>
      <c r="E2">
        <v>7036.7</v>
      </c>
      <c r="F2">
        <v>43600</v>
      </c>
      <c r="G2">
        <v>1090000</v>
      </c>
    </row>
    <row r="3" spans="1:7" x14ac:dyDescent="0.3">
      <c r="A3">
        <v>6</v>
      </c>
      <c r="B3" t="s">
        <v>2</v>
      </c>
      <c r="C3">
        <v>2</v>
      </c>
      <c r="D3">
        <v>1075.5999999999999</v>
      </c>
      <c r="E3">
        <v>6662.85</v>
      </c>
      <c r="F3">
        <v>52279.9</v>
      </c>
      <c r="G3">
        <v>1306997.4609399999</v>
      </c>
    </row>
    <row r="4" spans="1:7" x14ac:dyDescent="0.3">
      <c r="A4">
        <v>7</v>
      </c>
      <c r="B4" t="s">
        <v>2</v>
      </c>
      <c r="C4">
        <v>3</v>
      </c>
      <c r="D4">
        <v>1057.0999999999999</v>
      </c>
      <c r="E4">
        <v>6336.06</v>
      </c>
      <c r="F4">
        <v>79045.600000000006</v>
      </c>
      <c r="G4">
        <v>1976140.0390600001</v>
      </c>
    </row>
    <row r="5" spans="1:7" x14ac:dyDescent="0.3">
      <c r="A5">
        <v>8</v>
      </c>
      <c r="B5" t="s">
        <v>2</v>
      </c>
      <c r="C5">
        <v>4</v>
      </c>
      <c r="D5">
        <v>1053.0999999999999</v>
      </c>
      <c r="E5">
        <v>6256.56</v>
      </c>
      <c r="F5">
        <v>94460.2</v>
      </c>
      <c r="G5">
        <v>2361505.0781200002</v>
      </c>
    </row>
    <row r="6" spans="1:7" x14ac:dyDescent="0.3">
      <c r="A6">
        <v>1</v>
      </c>
      <c r="B6" t="s">
        <v>2</v>
      </c>
      <c r="C6">
        <v>5</v>
      </c>
      <c r="D6">
        <v>971.7</v>
      </c>
      <c r="E6">
        <v>4939.9399999999996</v>
      </c>
      <c r="F6">
        <v>512022</v>
      </c>
      <c r="G6">
        <v>12800550</v>
      </c>
    </row>
    <row r="7" spans="1:7" x14ac:dyDescent="0.3">
      <c r="A7">
        <v>9</v>
      </c>
      <c r="B7" t="s">
        <v>2</v>
      </c>
      <c r="C7">
        <v>6</v>
      </c>
      <c r="D7">
        <v>926.8</v>
      </c>
      <c r="E7">
        <v>4387.4399999999996</v>
      </c>
      <c r="F7">
        <v>568122</v>
      </c>
      <c r="G7">
        <v>14203050</v>
      </c>
    </row>
    <row r="8" spans="1:7" x14ac:dyDescent="0.3">
      <c r="A8">
        <v>4</v>
      </c>
      <c r="B8" t="s">
        <v>2</v>
      </c>
      <c r="C8">
        <v>7</v>
      </c>
      <c r="D8">
        <v>897.5</v>
      </c>
      <c r="E8">
        <v>4010.66</v>
      </c>
      <c r="F8">
        <v>584824</v>
      </c>
      <c r="G8">
        <v>14620600</v>
      </c>
    </row>
    <row r="9" spans="1:7" x14ac:dyDescent="0.3">
      <c r="A9">
        <v>10</v>
      </c>
      <c r="B9" t="s">
        <v>2</v>
      </c>
      <c r="C9">
        <v>8</v>
      </c>
      <c r="D9">
        <v>874</v>
      </c>
      <c r="E9">
        <v>3613.88</v>
      </c>
      <c r="F9">
        <v>692261</v>
      </c>
      <c r="G9">
        <v>17306525</v>
      </c>
    </row>
    <row r="10" spans="1:7" x14ac:dyDescent="0.3">
      <c r="A10">
        <v>11</v>
      </c>
      <c r="B10" t="s">
        <v>2</v>
      </c>
      <c r="C10">
        <v>9</v>
      </c>
      <c r="D10">
        <v>780.7</v>
      </c>
      <c r="E10">
        <v>2094.3200000000002</v>
      </c>
      <c r="F10">
        <v>783191</v>
      </c>
      <c r="G10">
        <v>19579775</v>
      </c>
    </row>
    <row r="11" spans="1:7" x14ac:dyDescent="0.3">
      <c r="A11">
        <v>2</v>
      </c>
      <c r="B11" t="s">
        <v>2</v>
      </c>
      <c r="C11">
        <v>10</v>
      </c>
      <c r="D11">
        <v>744.5</v>
      </c>
      <c r="E11">
        <v>1969.46</v>
      </c>
      <c r="F11">
        <v>895800</v>
      </c>
      <c r="G11">
        <v>22395000</v>
      </c>
    </row>
    <row r="12" spans="1:7" x14ac:dyDescent="0.3">
      <c r="A12">
        <v>12</v>
      </c>
      <c r="B12" t="s">
        <v>2</v>
      </c>
      <c r="C12">
        <v>11</v>
      </c>
      <c r="D12">
        <v>698.9</v>
      </c>
      <c r="E12">
        <v>1680.97</v>
      </c>
      <c r="F12">
        <v>932170</v>
      </c>
      <c r="G12">
        <v>23304250</v>
      </c>
    </row>
    <row r="13" spans="1:7" x14ac:dyDescent="0.3">
      <c r="A13">
        <v>3</v>
      </c>
      <c r="B13" t="s">
        <v>2</v>
      </c>
      <c r="C13">
        <v>12</v>
      </c>
      <c r="D13">
        <v>692.5</v>
      </c>
      <c r="E13">
        <v>1569.4</v>
      </c>
      <c r="F13">
        <v>934742</v>
      </c>
      <c r="G13">
        <v>23368550</v>
      </c>
    </row>
    <row r="14" spans="1:7" x14ac:dyDescent="0.3">
      <c r="A14">
        <v>0</v>
      </c>
      <c r="B14" t="s">
        <v>2</v>
      </c>
      <c r="C14">
        <v>13</v>
      </c>
      <c r="D14">
        <v>665</v>
      </c>
      <c r="E14">
        <v>1129.33</v>
      </c>
      <c r="F14">
        <v>421515</v>
      </c>
      <c r="G14">
        <v>10537875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Sources_Topology</vt:lpstr>
      <vt:lpstr>Sheet2</vt:lpstr>
      <vt:lpstr>Shape_File_Sources</vt:lpstr>
      <vt:lpstr>Shape_File_Confluences</vt:lpstr>
    </vt:vector>
  </TitlesOfParts>
  <Company>IHE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Cattapan</dc:creator>
  <cp:lastModifiedBy>Alessandro Cattapan</cp:lastModifiedBy>
  <dcterms:created xsi:type="dcterms:W3CDTF">2025-07-10T17:58:19Z</dcterms:created>
  <dcterms:modified xsi:type="dcterms:W3CDTF">2025-07-18T20:59:20Z</dcterms:modified>
</cp:coreProperties>
</file>